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hcho/Documents/AX사업본부/아이뱅크_인턴/공가 현황/"/>
    </mc:Choice>
  </mc:AlternateContent>
  <xr:revisionPtr revIDLastSave="0" documentId="13_ncr:1_{E19D6AD4-5939-6548-8C8C-3FA8B3CCF4AD}" xr6:coauthVersionLast="47" xr6:coauthVersionMax="47" xr10:uidLastSave="{00000000-0000-0000-0000-000000000000}"/>
  <bookViews>
    <workbookView xWindow="9840" yWindow="-21000" windowWidth="38400" windowHeight="19360" xr2:uid="{00000000-000D-0000-FFFF-FFFF00000000}"/>
  </bookViews>
  <sheets>
    <sheet name="공가 요약" sheetId="2" r:id="rId1"/>
    <sheet name="권미정" sheetId="3" r:id="rId2"/>
    <sheet name="박수빈" sheetId="4" r:id="rId3"/>
    <sheet name="윤서연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 a="1"/>
  <c r="D5" i="5" s="1"/>
  <c r="D5" i="4" a="1"/>
  <c r="D5" i="4" s="1"/>
  <c r="D5" i="3" a="1"/>
  <c r="D5" i="3" s="1"/>
  <c r="D12" i="2" a="1"/>
  <c r="D12" i="2" s="1"/>
  <c r="F9" i="2" l="1" a="1"/>
  <c r="F9" i="2" s="1"/>
  <c r="H5" i="3" a="1"/>
  <c r="H5" i="3" s="1"/>
  <c r="F5" i="3" a="1"/>
  <c r="F5" i="3" s="1"/>
  <c r="F10" i="2" a="1"/>
  <c r="F10" i="2" s="1"/>
  <c r="H5" i="4" a="1"/>
  <c r="H5" i="4" s="1"/>
  <c r="F5" i="4" a="1"/>
  <c r="F5" i="4" s="1"/>
  <c r="H5" i="5" a="1"/>
  <c r="H5" i="5" s="1"/>
  <c r="F11" i="2" a="1"/>
  <c r="F11" i="2" s="1"/>
  <c r="F5" i="5" a="1"/>
  <c r="F5" i="5" s="1"/>
  <c r="H11" i="2" l="1" a="1"/>
  <c r="H11" i="2" s="1"/>
  <c r="J11" i="2" a="1"/>
  <c r="J11" i="2" s="1"/>
  <c r="H10" i="2" a="1"/>
  <c r="H10" i="2" s="1"/>
  <c r="J10" i="2" a="1"/>
  <c r="J10" i="2" s="1"/>
  <c r="J9" i="2" a="1"/>
  <c r="J9" i="2" s="1"/>
  <c r="H9" i="2" a="1"/>
  <c r="H9" i="2" s="1"/>
  <c r="H12" i="2" s="1" a="1"/>
  <c r="H12" i="2" s="1"/>
  <c r="F12" i="2" a="1"/>
  <c r="F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<sst xmlns="http://schemas.openxmlformats.org/spreadsheetml/2006/main" count="213" uniqueCount="81">
  <si>
    <t>인턴 공가 사용 현황</t>
  </si>
  <si>
    <t>근무 기간</t>
  </si>
  <si>
    <r>
      <rPr>
        <sz val="9"/>
        <color indexed="8"/>
        <rFont val="Arial"/>
        <family val="2"/>
      </rPr>
      <t>2026. 4. 13(</t>
    </r>
    <r>
      <rPr>
        <sz val="9"/>
        <color indexed="8"/>
        <rFont val="Noto Sans CJK SC"/>
      </rPr>
      <t>월</t>
    </r>
    <r>
      <rPr>
        <sz val="9"/>
        <color indexed="8"/>
        <rFont val="Arial"/>
        <family val="2"/>
      </rPr>
      <t>) ~ 2026. 6. 5(</t>
    </r>
    <r>
      <rPr>
        <sz val="9"/>
        <color indexed="8"/>
        <rFont val="Noto Sans CJK SC"/>
      </rPr>
      <t>금</t>
    </r>
    <r>
      <rPr>
        <sz val="9"/>
        <color indexed="8"/>
        <rFont val="Arial"/>
        <family val="2"/>
      </rPr>
      <t xml:space="preserve">)  |  </t>
    </r>
    <r>
      <rPr>
        <sz val="9"/>
        <color indexed="8"/>
        <rFont val="Noto Sans CJK SC"/>
      </rPr>
      <t xml:space="preserve">총 </t>
    </r>
    <r>
      <rPr>
        <sz val="9"/>
        <color indexed="8"/>
        <rFont val="Arial"/>
        <family val="2"/>
      </rPr>
      <t>8</t>
    </r>
    <r>
      <rPr>
        <sz val="9"/>
        <color indexed="8"/>
        <rFont val="Noto Sans CJK SC"/>
      </rPr>
      <t>주</t>
    </r>
  </si>
  <si>
    <t>근무 시간</t>
  </si>
  <si>
    <t>평일 오후 1:00 ~ 오후 6:00  (1일 5시간)</t>
  </si>
  <si>
    <t>공가 한도</t>
  </si>
  <si>
    <r>
      <rPr>
        <sz val="9"/>
        <color indexed="8"/>
        <rFont val="Arial"/>
        <family val="2"/>
      </rPr>
      <t>1</t>
    </r>
    <r>
      <rPr>
        <sz val="9"/>
        <color indexed="8"/>
        <rFont val="Noto Sans CJK SC"/>
      </rPr>
      <t xml:space="preserve">인당 </t>
    </r>
    <r>
      <rPr>
        <sz val="9"/>
        <color indexed="8"/>
        <rFont val="Arial"/>
        <family val="2"/>
      </rPr>
      <t>20</t>
    </r>
    <r>
      <rPr>
        <sz val="9"/>
        <color indexed="8"/>
        <rFont val="Noto Sans CJK SC"/>
      </rPr>
      <t xml:space="preserve">시간  </t>
    </r>
    <r>
      <rPr>
        <sz val="9"/>
        <color indexed="8"/>
        <rFont val="Arial"/>
        <family val="2"/>
      </rPr>
      <t>(</t>
    </r>
    <r>
      <rPr>
        <sz val="9"/>
        <color indexed="8"/>
        <rFont val="Noto Sans CJK SC"/>
      </rPr>
      <t xml:space="preserve">총 근무시간 </t>
    </r>
    <r>
      <rPr>
        <sz val="9"/>
        <color indexed="8"/>
        <rFont val="Arial"/>
        <family val="2"/>
      </rPr>
      <t>200h</t>
    </r>
    <r>
      <rPr>
        <sz val="9"/>
        <color indexed="8"/>
        <rFont val="Noto Sans CJK SC"/>
      </rPr>
      <t xml:space="preserve">의 </t>
    </r>
    <r>
      <rPr>
        <sz val="9"/>
        <color indexed="8"/>
        <rFont val="Arial"/>
        <family val="2"/>
      </rPr>
      <t>10%)</t>
    </r>
  </si>
  <si>
    <t>이름</t>
  </si>
  <si>
    <t>총 한도(h)</t>
  </si>
  <si>
    <t>사용(h)</t>
  </si>
  <si>
    <t>잔여(h)</t>
  </si>
  <si>
    <t>사용률</t>
  </si>
  <si>
    <t>권미정</t>
  </si>
  <si>
    <t>박수빈</t>
  </si>
  <si>
    <t>윤서연</t>
  </si>
  <si>
    <t>합계</t>
  </si>
  <si>
    <t>※ 공가 유형 입력 기준:  연차 = 5h  |  반차(오전·오후) = 2.5h  |  조퇴 = 2h</t>
  </si>
  <si>
    <t>※ 달력 시트에서 해당 날짜 셀에 공가 시간(숫자)을 직접 입력하세요.  예) 5 / 2.5 / 2</t>
  </si>
  <si>
    <t>권미정 — 공가 달력 (2026. 4. 13 ~ 6. 5)</t>
  </si>
  <si>
    <t>사용 공가(h)</t>
  </si>
  <si>
    <t>주차</t>
  </si>
  <si>
    <t>월 (Mon)</t>
  </si>
  <si>
    <t>화 (Tue)</t>
  </si>
  <si>
    <t>수 (Wed)</t>
  </si>
  <si>
    <t>목 (Thu)</t>
  </si>
  <si>
    <t>금 (Fri)</t>
  </si>
  <si>
    <r>
      <rPr>
        <sz val="11"/>
        <color indexed="12"/>
        <rFont val="Arial"/>
        <family val="2"/>
      </rPr>
      <t>2026</t>
    </r>
    <r>
      <rPr>
        <sz val="11"/>
        <color indexed="12"/>
        <rFont val="Noto Sans CJK SC"/>
      </rPr>
      <t xml:space="preserve">년 </t>
    </r>
    <r>
      <rPr>
        <sz val="11"/>
        <color indexed="12"/>
        <rFont val="Arial"/>
        <family val="2"/>
      </rPr>
      <t>4</t>
    </r>
    <r>
      <rPr>
        <sz val="11"/>
        <color indexed="12"/>
        <rFont val="Noto Sans CJK SC"/>
      </rPr>
      <t>월</t>
    </r>
  </si>
  <si>
    <r>
      <rPr>
        <sz val="8"/>
        <color indexed="20"/>
        <rFont val="Arial"/>
        <family val="2"/>
      </rPr>
      <t>16</t>
    </r>
    <r>
      <rPr>
        <sz val="8"/>
        <color indexed="20"/>
        <rFont val="Noto Sans CJK SC"/>
      </rPr>
      <t>주</t>
    </r>
  </si>
  <si>
    <r>
      <rPr>
        <sz val="8"/>
        <color indexed="14"/>
        <rFont val="Arial"/>
        <family val="2"/>
      </rPr>
      <t>4/13 (</t>
    </r>
    <r>
      <rPr>
        <sz val="8"/>
        <color indexed="14"/>
        <rFont val="Noto Sans CJK SC"/>
      </rPr>
      <t>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</si>
  <si>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4/14 (</t>
    </r>
    <r>
      <rPr>
        <sz val="8"/>
        <color indexed="14"/>
        <rFont val="Noto Sans CJK SC"/>
      </rPr>
      <t>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</si>
  <si>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4/15 (</t>
    </r>
    <r>
      <rPr>
        <sz val="8"/>
        <color indexed="14"/>
        <rFont val="Noto Sans CJK SC"/>
      </rPr>
      <t>수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</si>
  <si>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4/16 (</t>
    </r>
    <r>
      <rPr>
        <sz val="8"/>
        <color indexed="14"/>
        <rFont val="Noto Sans CJK SC"/>
      </rPr>
      <t>목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</si>
  <si>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4/17 (</t>
    </r>
    <r>
      <rPr>
        <sz val="8"/>
        <color indexed="14"/>
        <rFont val="Noto Sans CJK SC"/>
      </rPr>
      <t>금</t>
    </r>
    <r>
      <rPr>
        <sz val="8"/>
        <color indexed="14"/>
        <rFont val="Arial"/>
        <family val="2"/>
      </rPr>
      <t>)</t>
    </r>
  </si>
  <si>
    <r>
      <rPr>
        <sz val="8"/>
        <color indexed="20"/>
        <rFont val="Arial"/>
        <family val="2"/>
      </rPr>
      <t>17</t>
    </r>
    <r>
      <rPr>
        <sz val="8"/>
        <color indexed="20"/>
        <rFont val="Noto Sans CJK SC"/>
      </rPr>
      <t>주</t>
    </r>
  </si>
  <si>
    <r>
      <rPr>
        <sz val="8"/>
        <color indexed="14"/>
        <rFont val="Arial"/>
        <family val="2"/>
      </rPr>
      <t>4/20 (</t>
    </r>
    <r>
      <rPr>
        <sz val="8"/>
        <color indexed="14"/>
        <rFont val="Noto Sans CJK SC"/>
      </rPr>
      <t>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</si>
  <si>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4/21 (</t>
    </r>
    <r>
      <rPr>
        <sz val="8"/>
        <color indexed="14"/>
        <rFont val="Noto Sans CJK SC"/>
      </rPr>
      <t>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</si>
  <si>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4/22 (</t>
    </r>
    <r>
      <rPr>
        <sz val="8"/>
        <color indexed="14"/>
        <rFont val="Noto Sans CJK SC"/>
      </rPr>
      <t>수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</si>
  <si>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4/23 (</t>
    </r>
    <r>
      <rPr>
        <sz val="8"/>
        <color indexed="14"/>
        <rFont val="Noto Sans CJK SC"/>
      </rPr>
      <t>목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</si>
  <si>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4/24 (</t>
    </r>
    <r>
      <rPr>
        <sz val="8"/>
        <color indexed="14"/>
        <rFont val="Noto Sans CJK SC"/>
      </rPr>
      <t>금</t>
    </r>
    <r>
      <rPr>
        <sz val="8"/>
        <color indexed="14"/>
        <rFont val="Arial"/>
        <family val="2"/>
      </rPr>
      <t>)</t>
    </r>
  </si>
  <si>
    <r>
      <rPr>
        <sz val="8"/>
        <color indexed="20"/>
        <rFont val="Arial"/>
        <family val="2"/>
      </rPr>
      <t>18</t>
    </r>
    <r>
      <rPr>
        <sz val="8"/>
        <color indexed="20"/>
        <rFont val="Noto Sans CJK SC"/>
      </rPr>
      <t>주</t>
    </r>
  </si>
  <si>
    <r>
      <rPr>
        <sz val="8"/>
        <color indexed="14"/>
        <rFont val="Arial"/>
        <family val="2"/>
      </rPr>
      <t>4/27 (</t>
    </r>
    <r>
      <rPr>
        <sz val="8"/>
        <color indexed="14"/>
        <rFont val="Noto Sans CJK SC"/>
      </rPr>
      <t>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</si>
  <si>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4/28 (</t>
    </r>
    <r>
      <rPr>
        <sz val="8"/>
        <color indexed="14"/>
        <rFont val="Noto Sans CJK SC"/>
      </rPr>
      <t>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</si>
  <si>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4/29 (</t>
    </r>
    <r>
      <rPr>
        <sz val="8"/>
        <color indexed="14"/>
        <rFont val="Noto Sans CJK SC"/>
      </rPr>
      <t>수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</si>
  <si>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4/30 (</t>
    </r>
    <r>
      <rPr>
        <sz val="8"/>
        <color indexed="14"/>
        <rFont val="Noto Sans CJK SC"/>
      </rPr>
      <t>목</t>
    </r>
    <r>
      <rPr>
        <sz val="8"/>
        <color indexed="14"/>
        <rFont val="Arial"/>
        <family val="2"/>
      </rPr>
      <t>)</t>
    </r>
  </si>
  <si>
    <r>
      <rPr>
        <sz val="11"/>
        <color indexed="12"/>
        <rFont val="Arial"/>
        <family val="2"/>
      </rPr>
      <t>2026</t>
    </r>
    <r>
      <rPr>
        <sz val="11"/>
        <color indexed="12"/>
        <rFont val="Noto Sans CJK SC"/>
      </rPr>
      <t xml:space="preserve">년 </t>
    </r>
    <r>
      <rPr>
        <sz val="11"/>
        <color indexed="12"/>
        <rFont val="Arial"/>
        <family val="2"/>
      </rPr>
      <t>5</t>
    </r>
    <r>
      <rPr>
        <sz val="11"/>
        <color indexed="12"/>
        <rFont val="Noto Sans CJK SC"/>
      </rPr>
      <t>월</t>
    </r>
  </si>
  <si>
    <r>
      <rPr>
        <sz val="8"/>
        <color indexed="14"/>
        <rFont val="Arial"/>
        <family val="2"/>
      </rPr>
      <t>5/1 (</t>
    </r>
    <r>
      <rPr>
        <sz val="8"/>
        <color indexed="14"/>
        <rFont val="Noto Sans CJK SC"/>
      </rPr>
      <t>금</t>
    </r>
    <r>
      <rPr>
        <sz val="8"/>
        <color indexed="14"/>
        <rFont val="Arial"/>
        <family val="2"/>
      </rPr>
      <t>)</t>
    </r>
  </si>
  <si>
    <r>
      <rPr>
        <sz val="8"/>
        <color indexed="20"/>
        <rFont val="Arial"/>
        <family val="2"/>
      </rPr>
      <t>19</t>
    </r>
    <r>
      <rPr>
        <sz val="8"/>
        <color indexed="20"/>
        <rFont val="Noto Sans CJK SC"/>
      </rPr>
      <t>주</t>
    </r>
  </si>
  <si>
    <r>
      <rPr>
        <sz val="8"/>
        <color indexed="14"/>
        <rFont val="Arial"/>
        <family val="2"/>
      </rPr>
      <t>5/4 (</t>
    </r>
    <r>
      <rPr>
        <sz val="8"/>
        <color indexed="14"/>
        <rFont val="Noto Sans CJK SC"/>
      </rPr>
      <t>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</si>
  <si>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5/5 (</t>
    </r>
    <r>
      <rPr>
        <sz val="8"/>
        <color indexed="14"/>
        <rFont val="Noto Sans CJK SC"/>
      </rPr>
      <t>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</si>
  <si>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5/6 (</t>
    </r>
    <r>
      <rPr>
        <sz val="8"/>
        <color indexed="14"/>
        <rFont val="Noto Sans CJK SC"/>
      </rPr>
      <t>수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</si>
  <si>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5/7 (</t>
    </r>
    <r>
      <rPr>
        <sz val="8"/>
        <color indexed="14"/>
        <rFont val="Noto Sans CJK SC"/>
      </rPr>
      <t>목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</si>
  <si>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5/8 (</t>
    </r>
    <r>
      <rPr>
        <sz val="8"/>
        <color indexed="14"/>
        <rFont val="Noto Sans CJK SC"/>
      </rPr>
      <t>금</t>
    </r>
    <r>
      <rPr>
        <sz val="8"/>
        <color indexed="14"/>
        <rFont val="Arial"/>
        <family val="2"/>
      </rPr>
      <t>)</t>
    </r>
  </si>
  <si>
    <r>
      <rPr>
        <sz val="8"/>
        <color indexed="20"/>
        <rFont val="Arial"/>
        <family val="2"/>
      </rPr>
      <t>20</t>
    </r>
    <r>
      <rPr>
        <sz val="8"/>
        <color indexed="20"/>
        <rFont val="Noto Sans CJK SC"/>
      </rPr>
      <t>주</t>
    </r>
  </si>
  <si>
    <r>
      <rPr>
        <sz val="8"/>
        <color indexed="14"/>
        <rFont val="Arial"/>
        <family val="2"/>
      </rPr>
      <t>5/11 (</t>
    </r>
    <r>
      <rPr>
        <sz val="8"/>
        <color indexed="14"/>
        <rFont val="Noto Sans CJK SC"/>
      </rPr>
      <t>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</si>
  <si>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5/12 (</t>
    </r>
    <r>
      <rPr>
        <sz val="8"/>
        <color indexed="14"/>
        <rFont val="Noto Sans CJK SC"/>
      </rPr>
      <t>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</si>
  <si>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5/13 (</t>
    </r>
    <r>
      <rPr>
        <sz val="8"/>
        <color indexed="14"/>
        <rFont val="Noto Sans CJK SC"/>
      </rPr>
      <t>수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</si>
  <si>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5/14 (</t>
    </r>
    <r>
      <rPr>
        <sz val="8"/>
        <color indexed="14"/>
        <rFont val="Noto Sans CJK SC"/>
      </rPr>
      <t>목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</si>
  <si>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5/15 (</t>
    </r>
    <r>
      <rPr>
        <sz val="8"/>
        <color indexed="14"/>
        <rFont val="Noto Sans CJK SC"/>
      </rPr>
      <t>금</t>
    </r>
    <r>
      <rPr>
        <sz val="8"/>
        <color indexed="14"/>
        <rFont val="Arial"/>
        <family val="2"/>
      </rPr>
      <t>)</t>
    </r>
  </si>
  <si>
    <r>
      <rPr>
        <sz val="8"/>
        <color indexed="20"/>
        <rFont val="Arial"/>
        <family val="2"/>
      </rPr>
      <t>21</t>
    </r>
    <r>
      <rPr>
        <sz val="8"/>
        <color indexed="20"/>
        <rFont val="Noto Sans CJK SC"/>
      </rPr>
      <t>주</t>
    </r>
  </si>
  <si>
    <r>
      <rPr>
        <sz val="8"/>
        <color indexed="14"/>
        <rFont val="Arial"/>
        <family val="2"/>
      </rPr>
      <t>5/18 (</t>
    </r>
    <r>
      <rPr>
        <sz val="8"/>
        <color indexed="14"/>
        <rFont val="Noto Sans CJK SC"/>
      </rPr>
      <t>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</si>
  <si>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5/19 (</t>
    </r>
    <r>
      <rPr>
        <sz val="8"/>
        <color indexed="14"/>
        <rFont val="Noto Sans CJK SC"/>
      </rPr>
      <t>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</si>
  <si>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5/20 (</t>
    </r>
    <r>
      <rPr>
        <sz val="8"/>
        <color indexed="14"/>
        <rFont val="Noto Sans CJK SC"/>
      </rPr>
      <t>수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</si>
  <si>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5/21 (</t>
    </r>
    <r>
      <rPr>
        <sz val="8"/>
        <color indexed="14"/>
        <rFont val="Noto Sans CJK SC"/>
      </rPr>
      <t>목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</si>
  <si>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5/22 (</t>
    </r>
    <r>
      <rPr>
        <sz val="8"/>
        <color indexed="14"/>
        <rFont val="Noto Sans CJK SC"/>
      </rPr>
      <t>금</t>
    </r>
    <r>
      <rPr>
        <sz val="8"/>
        <color indexed="14"/>
        <rFont val="Arial"/>
        <family val="2"/>
      </rPr>
      <t>)</t>
    </r>
  </si>
  <si>
    <r>
      <rPr>
        <sz val="8"/>
        <color indexed="20"/>
        <rFont val="Arial"/>
        <family val="2"/>
      </rPr>
      <t>22</t>
    </r>
    <r>
      <rPr>
        <sz val="8"/>
        <color indexed="20"/>
        <rFont val="Noto Sans CJK SC"/>
      </rPr>
      <t>주</t>
    </r>
  </si>
  <si>
    <r>
      <rPr>
        <sz val="8"/>
        <color indexed="14"/>
        <rFont val="Arial"/>
        <family val="2"/>
      </rPr>
      <t>5/25 (</t>
    </r>
    <r>
      <rPr>
        <sz val="8"/>
        <color indexed="14"/>
        <rFont val="Noto Sans CJK SC"/>
      </rPr>
      <t>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</si>
  <si>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5/26 (</t>
    </r>
    <r>
      <rPr>
        <sz val="8"/>
        <color indexed="14"/>
        <rFont val="Noto Sans CJK SC"/>
      </rPr>
      <t>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</si>
  <si>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5/27 (</t>
    </r>
    <r>
      <rPr>
        <sz val="8"/>
        <color indexed="14"/>
        <rFont val="Noto Sans CJK SC"/>
      </rPr>
      <t>수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</si>
  <si>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5/28 (</t>
    </r>
    <r>
      <rPr>
        <sz val="8"/>
        <color indexed="14"/>
        <rFont val="Noto Sans CJK SC"/>
      </rPr>
      <t>목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</si>
  <si>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5/29 (</t>
    </r>
    <r>
      <rPr>
        <sz val="8"/>
        <color indexed="14"/>
        <rFont val="Noto Sans CJK SC"/>
      </rPr>
      <t>금</t>
    </r>
    <r>
      <rPr>
        <sz val="8"/>
        <color indexed="14"/>
        <rFont val="Arial"/>
        <family val="2"/>
      </rPr>
      <t>)</t>
    </r>
  </si>
  <si>
    <r>
      <rPr>
        <sz val="11"/>
        <color indexed="12"/>
        <rFont val="Arial"/>
        <family val="2"/>
      </rPr>
      <t>2026</t>
    </r>
    <r>
      <rPr>
        <sz val="11"/>
        <color indexed="12"/>
        <rFont val="Noto Sans CJK SC"/>
      </rPr>
      <t xml:space="preserve">년 </t>
    </r>
    <r>
      <rPr>
        <sz val="11"/>
        <color indexed="12"/>
        <rFont val="Arial"/>
        <family val="2"/>
      </rPr>
      <t>6</t>
    </r>
    <r>
      <rPr>
        <sz val="11"/>
        <color indexed="12"/>
        <rFont val="Noto Sans CJK SC"/>
      </rPr>
      <t>월</t>
    </r>
  </si>
  <si>
    <r>
      <rPr>
        <sz val="8"/>
        <color indexed="20"/>
        <rFont val="Arial"/>
        <family val="2"/>
      </rPr>
      <t>23</t>
    </r>
    <r>
      <rPr>
        <sz val="8"/>
        <color indexed="20"/>
        <rFont val="Noto Sans CJK SC"/>
      </rPr>
      <t>주</t>
    </r>
  </si>
  <si>
    <r>
      <rPr>
        <sz val="8"/>
        <color indexed="14"/>
        <rFont val="Arial"/>
        <family val="2"/>
      </rPr>
      <t>6/1 (</t>
    </r>
    <r>
      <rPr>
        <sz val="8"/>
        <color indexed="14"/>
        <rFont val="Noto Sans CJK SC"/>
      </rPr>
      <t>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</si>
  <si>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6/2 (</t>
    </r>
    <r>
      <rPr>
        <sz val="8"/>
        <color indexed="14"/>
        <rFont val="Noto Sans CJK SC"/>
      </rPr>
      <t>화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</si>
  <si>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6/3 (</t>
    </r>
    <r>
      <rPr>
        <sz val="8"/>
        <color indexed="14"/>
        <rFont val="Noto Sans CJK SC"/>
      </rPr>
      <t>수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</si>
  <si>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6/4 (</t>
    </r>
    <r>
      <rPr>
        <sz val="8"/>
        <color indexed="14"/>
        <rFont val="Noto Sans CJK SC"/>
      </rPr>
      <t>목</t>
    </r>
    <r>
      <rPr>
        <sz val="8"/>
        <color indexed="14"/>
        <rFont val="Arial"/>
        <family val="2"/>
      </rPr>
      <t>)</t>
    </r>
  </si>
  <si>
    <r>
      <rPr>
        <sz val="8"/>
        <color indexed="14"/>
        <rFont val="Arial"/>
        <family val="2"/>
      </rPr>
      <t>6/5 (</t>
    </r>
    <r>
      <rPr>
        <sz val="8"/>
        <color indexed="14"/>
        <rFont val="Noto Sans CJK SC"/>
      </rPr>
      <t>금</t>
    </r>
    <r>
      <rPr>
        <sz val="8"/>
        <color indexed="14"/>
        <rFont val="Arial"/>
        <family val="2"/>
      </rPr>
      <t>)</t>
    </r>
  </si>
  <si>
    <t>💡 공가 입력 방법:  해당 날짜 아래 흰색 셀에 시간(숫자)을 입력하세요.  연차=5  |  반차=2.5  |  조퇴=2</t>
  </si>
  <si>
    <t>📌 상단 요약바의 '사용 공가(h)'는 달력에 입력된 모든 값의 합계가 자동 계산됩니다.</t>
  </si>
  <si>
    <t>박수빈 — 공가 달력 (2026. 4. 13 ~ 6. 5)</t>
  </si>
  <si>
    <t>윤서연 — 공가 달력 (2026. 4. 13 ~ 6.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</si>
</sst>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;&quot; &quot;;&quot; &quot;"/>
  </numFmts>
  <fonts count="20">
    <font>
      <sz val="11"/>
      <color indexed="8"/>
      <name val="Calibri"/>
    </font>
    <font>
      <sz val="16"/>
      <color indexed="12"/>
      <name val="Noto Sans CJK SC"/>
    </font>
    <font>
      <sz val="9"/>
      <color indexed="12"/>
      <name val="Noto Sans CJK SC"/>
    </font>
    <font>
      <sz val="9"/>
      <color indexed="8"/>
      <name val="Arial"/>
      <family val="2"/>
    </font>
    <font>
      <sz val="9"/>
      <color indexed="8"/>
      <name val="Noto Sans CJK SC"/>
    </font>
    <font>
      <sz val="10"/>
      <color indexed="12"/>
      <name val="Noto Sans CJK SC"/>
    </font>
    <font>
      <sz val="10"/>
      <color indexed="8"/>
      <name val="Noto Sans CJK SC"/>
    </font>
    <font>
      <sz val="10"/>
      <color indexed="8"/>
      <name val="Arial"/>
      <family val="2"/>
    </font>
    <font>
      <sz val="9"/>
      <color indexed="20"/>
      <name val="Noto Sans CJK SC"/>
    </font>
    <font>
      <sz val="9"/>
      <color indexed="21"/>
      <name val="Noto Sans CJK SC"/>
    </font>
    <font>
      <sz val="14"/>
      <color indexed="12"/>
      <name val="Noto Sans CJK SC"/>
    </font>
    <font>
      <sz val="11"/>
      <color indexed="8"/>
      <name val="Arial"/>
      <family val="2"/>
    </font>
    <font>
      <sz val="11"/>
      <color indexed="12"/>
      <name val="Arial"/>
      <family val="2"/>
    </font>
    <font>
      <sz val="11"/>
      <color indexed="12"/>
      <name val="Noto Sans CJK SC"/>
    </font>
    <font>
      <sz val="8"/>
      <color indexed="20"/>
      <name val="Arial"/>
      <family val="2"/>
    </font>
    <font>
      <sz val="8"/>
      <color indexed="20"/>
      <name val="Noto Sans CJK SC"/>
    </font>
    <font>
      <sz val="8"/>
      <color indexed="14"/>
      <name val="Arial"/>
      <family val="2"/>
    </font>
    <font>
      <sz val="8"/>
      <color indexed="14"/>
      <name val="Noto Sans CJK SC"/>
    </font>
    <font>
      <sz val="12"/>
      <color indexed="21"/>
      <name val="Arial"/>
      <family val="2"/>
    </font>
    <font>
      <sz val="8"/>
      <name val="나눔명조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43">
    <xf numFmtId="0" fontId="0" fillId="0" borderId="0" xfId="0"/>
    <xf numFmtId="0" fontId="0" fillId="0" borderId="0" xfId="0" applyNumberFormat="1"/>
    <xf numFmtId="49" fontId="1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49" fontId="2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left" vertical="center"/>
    </xf>
    <xf numFmtId="1" fontId="8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1" fontId="9" fillId="2" borderId="1" xfId="0" applyNumberFormat="1" applyFont="1" applyFill="1" applyBorder="1" applyAlignment="1">
      <alignment horizontal="left" vertical="center"/>
    </xf>
    <xf numFmtId="0" fontId="0" fillId="0" borderId="1" xfId="0" applyNumberFormat="1" applyBorder="1"/>
    <xf numFmtId="1" fontId="11" fillId="7" borderId="1" xfId="0" applyNumberFormat="1" applyFont="1" applyFill="1" applyBorder="1" applyAlignment="1">
      <alignment horizontal="center" vertical="center"/>
    </xf>
    <xf numFmtId="176" fontId="11" fillId="7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/>
    </xf>
    <xf numFmtId="49" fontId="16" fillId="8" borderId="1" xfId="0" applyNumberFormat="1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/>
    </xf>
    <xf numFmtId="1" fontId="14" fillId="5" borderId="1" xfId="0" applyNumberFormat="1" applyFont="1" applyFill="1" applyBorder="1" applyAlignment="1">
      <alignment horizontal="center" vertical="center"/>
    </xf>
    <xf numFmtId="177" fontId="18" fillId="2" borderId="1" xfId="0" applyNumberFormat="1" applyFont="1" applyFill="1" applyBorder="1" applyAlignment="1">
      <alignment horizontal="center" vertical="center"/>
    </xf>
    <xf numFmtId="1" fontId="0" fillId="9" borderId="1" xfId="0" applyNumberFormat="1" applyFill="1" applyBorder="1"/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1F3864"/>
      <rgbColor rgb="FF2E75B6"/>
      <rgbColor rgb="FFBFBFBF"/>
      <rgbColor rgb="FFF2F2F2"/>
      <rgbColor rgb="FFD9E8F5"/>
      <rgbColor rgb="FFFFF2CC"/>
      <rgbColor rgb="FF595959"/>
      <rgbColor rgb="FFC00000"/>
      <rgbColor rgb="FFEBF3FB"/>
      <rgbColor rgb="FFFAFAFA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showGridLines="0" tabSelected="1" workbookViewId="0">
      <selection activeCell="M17" sqref="M17"/>
    </sheetView>
  </sheetViews>
  <sheetFormatPr baseColWidth="10" defaultColWidth="8.6640625" defaultRowHeight="15" customHeight="1"/>
  <cols>
    <col min="1" max="1" width="2" style="1" customWidth="1"/>
    <col min="2" max="2" width="16" style="1" customWidth="1"/>
    <col min="3" max="3" width="3" style="1" customWidth="1"/>
    <col min="4" max="4" width="12" style="1" customWidth="1"/>
    <col min="5" max="5" width="3" style="1" customWidth="1"/>
    <col min="6" max="6" width="12" style="1" customWidth="1"/>
    <col min="7" max="7" width="3" style="1" customWidth="1"/>
    <col min="8" max="8" width="12" style="1" customWidth="1"/>
    <col min="9" max="9" width="3" style="1" customWidth="1"/>
    <col min="10" max="10" width="14" style="1" customWidth="1"/>
    <col min="11" max="11" width="8.6640625" style="1" customWidth="1"/>
    <col min="12" max="16384" width="8.6640625" style="1"/>
  </cols>
  <sheetData>
    <row r="1" spans="1:10" ht="8" customHeight="1">
      <c r="A1" s="6"/>
      <c r="B1" s="6"/>
      <c r="C1" s="6"/>
      <c r="D1" s="6"/>
      <c r="E1" s="6"/>
      <c r="F1" s="6"/>
      <c r="G1" s="6"/>
      <c r="H1" s="6"/>
      <c r="I1" s="6"/>
      <c r="J1" s="6"/>
    </row>
    <row r="2" spans="1:10" ht="37.5" customHeight="1">
      <c r="A2" s="6"/>
      <c r="B2" s="2" t="s">
        <v>0</v>
      </c>
      <c r="C2" s="3"/>
      <c r="D2" s="3"/>
      <c r="E2" s="3"/>
      <c r="F2" s="3"/>
      <c r="G2" s="3"/>
      <c r="H2" s="3"/>
      <c r="I2" s="3"/>
      <c r="J2" s="3"/>
    </row>
    <row r="3" spans="1:10" ht="8" customHeight="1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ht="21" customHeight="1">
      <c r="A4" s="6"/>
      <c r="B4" s="7" t="s">
        <v>1</v>
      </c>
      <c r="C4" s="8"/>
      <c r="D4" s="8"/>
      <c r="E4" s="9" t="s">
        <v>2</v>
      </c>
      <c r="F4" s="10"/>
      <c r="G4" s="10"/>
      <c r="H4" s="10"/>
      <c r="I4" s="10"/>
      <c r="J4" s="10"/>
    </row>
    <row r="5" spans="1:10" ht="21" customHeight="1">
      <c r="A5" s="6"/>
      <c r="B5" s="7" t="s">
        <v>3</v>
      </c>
      <c r="C5" s="8"/>
      <c r="D5" s="8"/>
      <c r="E5" s="11" t="s">
        <v>4</v>
      </c>
      <c r="F5" s="12"/>
      <c r="G5" s="12"/>
      <c r="H5" s="12"/>
      <c r="I5" s="12"/>
      <c r="J5" s="12"/>
    </row>
    <row r="6" spans="1:10" ht="21" customHeight="1">
      <c r="A6" s="6"/>
      <c r="B6" s="7" t="s">
        <v>5</v>
      </c>
      <c r="C6" s="8"/>
      <c r="D6" s="8"/>
      <c r="E6" s="9" t="s">
        <v>6</v>
      </c>
      <c r="F6" s="10"/>
      <c r="G6" s="10"/>
      <c r="H6" s="10"/>
      <c r="I6" s="10"/>
      <c r="J6" s="10"/>
    </row>
    <row r="7" spans="1:10" ht="12" customHeight="1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25.5" customHeight="1">
      <c r="A8" s="6"/>
      <c r="B8" s="13" t="s">
        <v>7</v>
      </c>
      <c r="C8" s="14"/>
      <c r="D8" s="13" t="s">
        <v>8</v>
      </c>
      <c r="E8" s="14"/>
      <c r="F8" s="13" t="s">
        <v>9</v>
      </c>
      <c r="G8" s="14"/>
      <c r="H8" s="13" t="s">
        <v>10</v>
      </c>
      <c r="I8" s="14"/>
      <c r="J8" s="15" t="s">
        <v>11</v>
      </c>
    </row>
    <row r="9" spans="1:10" ht="24" customHeight="1">
      <c r="A9" s="6"/>
      <c r="B9" s="16" t="s">
        <v>12</v>
      </c>
      <c r="C9" s="17"/>
      <c r="D9" s="18">
        <v>20</v>
      </c>
      <c r="E9" s="18"/>
      <c r="F9" s="18" cm="1">
        <f t="array" ref="F9">IFERROR(권미정!D5,0)</f>
        <v>5</v>
      </c>
      <c r="G9" s="18"/>
      <c r="H9" s="17" cm="1">
        <f t="array" ref="H9">D9-F9</f>
        <v>15</v>
      </c>
      <c r="I9" s="17"/>
      <c r="J9" s="19" cm="1">
        <f t="array" ref="J9">IFERROR(F9/D9,0)</f>
        <v>0.25</v>
      </c>
    </row>
    <row r="10" spans="1:10" ht="24" customHeight="1">
      <c r="A10" s="6"/>
      <c r="B10" s="20" t="s">
        <v>13</v>
      </c>
      <c r="C10" s="21"/>
      <c r="D10" s="22">
        <v>20</v>
      </c>
      <c r="E10" s="22"/>
      <c r="F10" s="22" cm="1">
        <f t="array" ref="F10">IFERROR(박수빈!D5,0)</f>
        <v>5</v>
      </c>
      <c r="G10" s="22"/>
      <c r="H10" s="21" cm="1">
        <f t="array" ref="H10">D10-F10</f>
        <v>15</v>
      </c>
      <c r="I10" s="21"/>
      <c r="J10" s="23" cm="1">
        <f t="array" ref="J10">IFERROR(F10/D10,0)</f>
        <v>0.25</v>
      </c>
    </row>
    <row r="11" spans="1:10" ht="24" customHeight="1">
      <c r="A11" s="6"/>
      <c r="B11" s="16" t="s">
        <v>14</v>
      </c>
      <c r="C11" s="17"/>
      <c r="D11" s="18">
        <v>20</v>
      </c>
      <c r="E11" s="18"/>
      <c r="F11" s="18" cm="1">
        <f t="array" ref="F11">IFERROR(윤서연!D5,0)</f>
        <v>2</v>
      </c>
      <c r="G11" s="18"/>
      <c r="H11" s="17" cm="1">
        <f t="array" ref="H11">D11-F11</f>
        <v>18</v>
      </c>
      <c r="I11" s="17"/>
      <c r="J11" s="19" cm="1">
        <f t="array" ref="J11">IFERROR(F11/D11,0)</f>
        <v>0.1</v>
      </c>
    </row>
    <row r="12" spans="1:10" ht="24" customHeight="1">
      <c r="A12" s="6"/>
      <c r="B12" s="13" t="s">
        <v>15</v>
      </c>
      <c r="C12" s="14"/>
      <c r="D12" s="24" cm="1">
        <f t="array" ref="D12">SUM(D9:D11)</f>
        <v>60</v>
      </c>
      <c r="E12" s="24"/>
      <c r="F12" s="24" cm="1">
        <f t="array" ref="F12">SUM(F9:F11)</f>
        <v>12</v>
      </c>
      <c r="G12" s="24"/>
      <c r="H12" s="24" cm="1">
        <f t="array" ref="H12">SUM(H9:H11)</f>
        <v>48</v>
      </c>
      <c r="I12" s="24"/>
      <c r="J12" s="6"/>
    </row>
    <row r="13" spans="1:10" ht="14" customHeight="1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ht="18" customHeight="1">
      <c r="A14" s="6"/>
      <c r="B14" s="25" t="s">
        <v>16</v>
      </c>
      <c r="C14" s="26"/>
      <c r="D14" s="26"/>
      <c r="E14" s="26"/>
      <c r="F14" s="26"/>
      <c r="G14" s="26"/>
      <c r="H14" s="26"/>
      <c r="I14" s="26"/>
      <c r="J14" s="26"/>
    </row>
    <row r="15" spans="1:10" ht="18" customHeight="1">
      <c r="A15" s="6"/>
      <c r="B15" s="27" t="s">
        <v>17</v>
      </c>
      <c r="C15" s="28"/>
      <c r="D15" s="28"/>
      <c r="E15" s="28"/>
      <c r="F15" s="28"/>
      <c r="G15" s="28"/>
      <c r="H15" s="28"/>
      <c r="I15" s="28"/>
      <c r="J15" s="28"/>
    </row>
  </sheetData>
  <mergeCells count="29">
    <mergeCell ref="B14:J14"/>
    <mergeCell ref="B15:J15"/>
    <mergeCell ref="B11:C11"/>
    <mergeCell ref="D11:E11"/>
    <mergeCell ref="F11:G11"/>
    <mergeCell ref="H11:I11"/>
    <mergeCell ref="B12:C12"/>
    <mergeCell ref="D12:E12"/>
    <mergeCell ref="F12:G12"/>
    <mergeCell ref="H12:I12"/>
    <mergeCell ref="B9:C9"/>
    <mergeCell ref="D9:E9"/>
    <mergeCell ref="F9:G9"/>
    <mergeCell ref="H9:I9"/>
    <mergeCell ref="B10:C10"/>
    <mergeCell ref="D10:E10"/>
    <mergeCell ref="F10:G10"/>
    <mergeCell ref="H10:I10"/>
    <mergeCell ref="B6:D6"/>
    <mergeCell ref="E6:J6"/>
    <mergeCell ref="B8:C8"/>
    <mergeCell ref="D8:E8"/>
    <mergeCell ref="F8:G8"/>
    <mergeCell ref="H8:I8"/>
    <mergeCell ref="B2:J2"/>
    <mergeCell ref="B4:D4"/>
    <mergeCell ref="E4:J4"/>
    <mergeCell ref="B5:D5"/>
    <mergeCell ref="E5:J5"/>
  </mergeCells>
  <phoneticPr fontId="19" type="noConversion"/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showGridLines="0" workbookViewId="0">
      <selection activeCell="O10" sqref="O10"/>
    </sheetView>
  </sheetViews>
  <sheetFormatPr baseColWidth="10" defaultColWidth="8.6640625" defaultRowHeight="15" customHeight="1"/>
  <cols>
    <col min="1" max="1" width="2" style="29" customWidth="1"/>
    <col min="2" max="2" width="5" style="29" customWidth="1"/>
    <col min="3" max="12" width="7" style="29" customWidth="1"/>
    <col min="13" max="13" width="8.6640625" style="29" customWidth="1"/>
    <col min="14" max="16384" width="8.6640625" style="29"/>
  </cols>
  <sheetData>
    <row r="1" spans="1:12" ht="8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6" customHeight="1">
      <c r="A2" s="6"/>
      <c r="B2" s="4" t="s">
        <v>18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1.75" customHeight="1">
      <c r="A4" s="6"/>
      <c r="B4" s="7" t="s">
        <v>8</v>
      </c>
      <c r="C4" s="8"/>
      <c r="D4" s="7" t="s">
        <v>19</v>
      </c>
      <c r="E4" s="8"/>
      <c r="F4" s="7" t="s">
        <v>10</v>
      </c>
      <c r="G4" s="8"/>
      <c r="H4" s="7" t="s">
        <v>11</v>
      </c>
      <c r="I4" s="8"/>
      <c r="J4" s="8"/>
      <c r="K4" s="6"/>
      <c r="L4" s="6"/>
    </row>
    <row r="5" spans="1:12" ht="21.75" customHeight="1">
      <c r="A5" s="6"/>
      <c r="B5" s="30">
        <v>20</v>
      </c>
      <c r="C5" s="30"/>
      <c r="D5" s="30" cm="1">
        <f t="array" ref="D5">SUM(C11,E11,G11,I11,K11,C13,E13,G13,I13,K13,C15,E15,G15,I15,K19,C21,E21,G21,I21,K21,C23,E23,G23,I23,K23,C25,E25,G25,I25,K25,C27,E27,G27,I27,K27,C31,E31,G31,I31,K31)</f>
        <v>5</v>
      </c>
      <c r="E5" s="30"/>
      <c r="F5" s="30" cm="1">
        <f t="array" ref="F5">B5-D5</f>
        <v>15</v>
      </c>
      <c r="G5" s="30"/>
      <c r="H5" s="31" cm="1">
        <f t="array" ref="H5">IFERROR(D5/B5,0)</f>
        <v>0.25</v>
      </c>
      <c r="I5" s="31"/>
      <c r="J5" s="31"/>
      <c r="K5" s="6"/>
      <c r="L5" s="6"/>
    </row>
    <row r="6" spans="1:12" ht="9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21.75" customHeight="1">
      <c r="A7" s="6"/>
      <c r="B7" s="32" t="s">
        <v>20</v>
      </c>
      <c r="C7" s="33" t="s">
        <v>21</v>
      </c>
      <c r="D7" s="34"/>
      <c r="E7" s="33" t="s">
        <v>22</v>
      </c>
      <c r="F7" s="34"/>
      <c r="G7" s="33" t="s">
        <v>23</v>
      </c>
      <c r="H7" s="34"/>
      <c r="I7" s="33" t="s">
        <v>24</v>
      </c>
      <c r="J7" s="34"/>
      <c r="K7" s="33" t="s">
        <v>25</v>
      </c>
      <c r="L7" s="34"/>
    </row>
    <row r="8" spans="1:12" ht="8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24" customHeight="1">
      <c r="A9" s="6"/>
      <c r="B9" s="35" t="s">
        <v>26</v>
      </c>
      <c r="C9" s="36"/>
      <c r="D9" s="36"/>
      <c r="E9" s="36"/>
      <c r="F9" s="36"/>
      <c r="G9" s="36"/>
      <c r="H9" s="36"/>
      <c r="I9" s="36"/>
      <c r="J9" s="36"/>
      <c r="K9" s="36"/>
      <c r="L9" s="36"/>
    </row>
    <row r="10" spans="1:12" ht="18" customHeight="1">
      <c r="A10" s="6"/>
      <c r="B10" s="37" t="s">
        <v>27</v>
      </c>
      <c r="C10" s="38" t="s">
        <v>28</v>
      </c>
      <c r="D10" s="39"/>
      <c r="E10" s="38" t="s">
        <v>29</v>
      </c>
      <c r="F10" s="39"/>
      <c r="G10" s="38" t="s">
        <v>30</v>
      </c>
      <c r="H10" s="39"/>
      <c r="I10" s="38" t="s">
        <v>31</v>
      </c>
      <c r="J10" s="39"/>
      <c r="K10" s="38" t="s">
        <v>32</v>
      </c>
      <c r="L10" s="39"/>
    </row>
    <row r="11" spans="1:12" ht="25.5" customHeight="1">
      <c r="A11" s="6"/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ht="18" customHeight="1">
      <c r="A12" s="6"/>
      <c r="B12" s="37" t="s">
        <v>33</v>
      </c>
      <c r="C12" s="38" t="s">
        <v>34</v>
      </c>
      <c r="D12" s="39"/>
      <c r="E12" s="38" t="s">
        <v>35</v>
      </c>
      <c r="F12" s="39"/>
      <c r="G12" s="38" t="s">
        <v>36</v>
      </c>
      <c r="H12" s="39"/>
      <c r="I12" s="38" t="s">
        <v>37</v>
      </c>
      <c r="J12" s="39"/>
      <c r="K12" s="38" t="s">
        <v>38</v>
      </c>
      <c r="L12" s="39"/>
    </row>
    <row r="13" spans="1:12" ht="25.5" customHeight="1">
      <c r="A13" s="6"/>
      <c r="B13" s="40"/>
      <c r="C13" s="41"/>
      <c r="D13" s="41"/>
      <c r="E13" s="41"/>
      <c r="F13" s="41"/>
      <c r="G13" s="41"/>
      <c r="H13" s="41"/>
      <c r="I13" s="41"/>
      <c r="J13" s="41"/>
      <c r="K13" s="41">
        <v>5</v>
      </c>
      <c r="L13" s="41"/>
    </row>
    <row r="14" spans="1:12" ht="18" customHeight="1">
      <c r="A14" s="6"/>
      <c r="B14" s="37" t="s">
        <v>39</v>
      </c>
      <c r="C14" s="38" t="s">
        <v>40</v>
      </c>
      <c r="D14" s="39"/>
      <c r="E14" s="38" t="s">
        <v>41</v>
      </c>
      <c r="F14" s="39"/>
      <c r="G14" s="38" t="s">
        <v>42</v>
      </c>
      <c r="H14" s="39"/>
      <c r="I14" s="38" t="s">
        <v>43</v>
      </c>
      <c r="J14" s="39"/>
      <c r="K14" s="42"/>
      <c r="L14" s="42"/>
    </row>
    <row r="15" spans="1:12" ht="25.5" customHeight="1">
      <c r="A15" s="6"/>
      <c r="B15" s="40"/>
      <c r="C15" s="41"/>
      <c r="D15" s="41"/>
      <c r="E15" s="41"/>
      <c r="F15" s="41"/>
      <c r="G15" s="41"/>
      <c r="H15" s="41"/>
      <c r="I15" s="41"/>
      <c r="J15" s="41"/>
      <c r="K15" s="42"/>
      <c r="L15" s="42"/>
    </row>
    <row r="16" spans="1:12" ht="8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ht="24" customHeight="1">
      <c r="A17" s="6"/>
      <c r="B17" s="35" t="s">
        <v>44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1:12" ht="18" customHeight="1">
      <c r="A18" s="6"/>
      <c r="B18" s="37" t="s">
        <v>39</v>
      </c>
      <c r="C18" s="42"/>
      <c r="D18" s="42"/>
      <c r="E18" s="42"/>
      <c r="F18" s="42"/>
      <c r="G18" s="42"/>
      <c r="H18" s="42"/>
      <c r="I18" s="42"/>
      <c r="J18" s="42"/>
      <c r="K18" s="38" t="s">
        <v>45</v>
      </c>
      <c r="L18" s="39"/>
    </row>
    <row r="19" spans="1:12" ht="25.5" customHeight="1">
      <c r="A19" s="6"/>
      <c r="B19" s="40"/>
      <c r="C19" s="42"/>
      <c r="D19" s="42"/>
      <c r="E19" s="42"/>
      <c r="F19" s="42"/>
      <c r="G19" s="42"/>
      <c r="H19" s="42"/>
      <c r="I19" s="42"/>
      <c r="J19" s="42"/>
      <c r="K19" s="41"/>
      <c r="L19" s="41"/>
    </row>
    <row r="20" spans="1:12" ht="18" customHeight="1">
      <c r="A20" s="6"/>
      <c r="B20" s="37" t="s">
        <v>46</v>
      </c>
      <c r="C20" s="38" t="s">
        <v>47</v>
      </c>
      <c r="D20" s="39"/>
      <c r="E20" s="38" t="s">
        <v>48</v>
      </c>
      <c r="F20" s="39"/>
      <c r="G20" s="38" t="s">
        <v>49</v>
      </c>
      <c r="H20" s="39"/>
      <c r="I20" s="38" t="s">
        <v>50</v>
      </c>
      <c r="J20" s="39"/>
      <c r="K20" s="38" t="s">
        <v>51</v>
      </c>
      <c r="L20" s="39"/>
    </row>
    <row r="21" spans="1:12" ht="25.5" customHeight="1">
      <c r="A21" s="6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ht="18" customHeight="1">
      <c r="A22" s="6"/>
      <c r="B22" s="37" t="s">
        <v>52</v>
      </c>
      <c r="C22" s="38" t="s">
        <v>53</v>
      </c>
      <c r="D22" s="39"/>
      <c r="E22" s="38" t="s">
        <v>54</v>
      </c>
      <c r="F22" s="39"/>
      <c r="G22" s="38" t="s">
        <v>55</v>
      </c>
      <c r="H22" s="39"/>
      <c r="I22" s="38" t="s">
        <v>56</v>
      </c>
      <c r="J22" s="39"/>
      <c r="K22" s="38" t="s">
        <v>57</v>
      </c>
      <c r="L22" s="39"/>
    </row>
    <row r="23" spans="1:12" ht="25.5" customHeight="1">
      <c r="A23" s="6"/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</row>
    <row r="24" spans="1:12" ht="18" customHeight="1">
      <c r="A24" s="6"/>
      <c r="B24" s="37" t="s">
        <v>58</v>
      </c>
      <c r="C24" s="38" t="s">
        <v>59</v>
      </c>
      <c r="D24" s="39"/>
      <c r="E24" s="38" t="s">
        <v>60</v>
      </c>
      <c r="F24" s="39"/>
      <c r="G24" s="38" t="s">
        <v>61</v>
      </c>
      <c r="H24" s="39"/>
      <c r="I24" s="38" t="s">
        <v>62</v>
      </c>
      <c r="J24" s="39"/>
      <c r="K24" s="38" t="s">
        <v>63</v>
      </c>
      <c r="L24" s="39"/>
    </row>
    <row r="25" spans="1:12" ht="25.5" customHeight="1">
      <c r="A25" s="6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spans="1:12" ht="18" customHeight="1">
      <c r="A26" s="6"/>
      <c r="B26" s="37" t="s">
        <v>64</v>
      </c>
      <c r="C26" s="38" t="s">
        <v>65</v>
      </c>
      <c r="D26" s="39"/>
      <c r="E26" s="38" t="s">
        <v>66</v>
      </c>
      <c r="F26" s="39"/>
      <c r="G26" s="38" t="s">
        <v>67</v>
      </c>
      <c r="H26" s="39"/>
      <c r="I26" s="38" t="s">
        <v>68</v>
      </c>
      <c r="J26" s="39"/>
      <c r="K26" s="38" t="s">
        <v>69</v>
      </c>
      <c r="L26" s="39"/>
    </row>
    <row r="27" spans="1:12" ht="25.5" customHeight="1">
      <c r="A27" s="6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spans="1:12" ht="8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ht="24" customHeight="1">
      <c r="A29" s="6"/>
      <c r="B29" s="35" t="s">
        <v>70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</row>
    <row r="30" spans="1:12" ht="18" customHeight="1">
      <c r="A30" s="6"/>
      <c r="B30" s="37" t="s">
        <v>71</v>
      </c>
      <c r="C30" s="38" t="s">
        <v>72</v>
      </c>
      <c r="D30" s="39"/>
      <c r="E30" s="38" t="s">
        <v>73</v>
      </c>
      <c r="F30" s="39"/>
      <c r="G30" s="38" t="s">
        <v>74</v>
      </c>
      <c r="H30" s="39"/>
      <c r="I30" s="38" t="s">
        <v>75</v>
      </c>
      <c r="J30" s="39"/>
      <c r="K30" s="38" t="s">
        <v>76</v>
      </c>
      <c r="L30" s="39"/>
    </row>
    <row r="31" spans="1:12" ht="25.5" customHeight="1">
      <c r="A31" s="6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</row>
    <row r="32" spans="1:12" ht="8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ht="18" customHeight="1">
      <c r="A33" s="6"/>
      <c r="B33" s="27" t="s">
        <v>77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spans="1:12" ht="18" customHeight="1">
      <c r="A34" s="6"/>
      <c r="B34" s="25" t="s">
        <v>78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</row>
  </sheetData>
  <mergeCells count="118">
    <mergeCell ref="B33:L33"/>
    <mergeCell ref="B34:L34"/>
    <mergeCell ref="B29:L29"/>
    <mergeCell ref="B30:B31"/>
    <mergeCell ref="C30:D30"/>
    <mergeCell ref="E30:F30"/>
    <mergeCell ref="G30:H30"/>
    <mergeCell ref="I30:J30"/>
    <mergeCell ref="K30:L30"/>
    <mergeCell ref="C31:D31"/>
    <mergeCell ref="E31:F31"/>
    <mergeCell ref="G31:H31"/>
    <mergeCell ref="I31:J31"/>
    <mergeCell ref="K31:L31"/>
    <mergeCell ref="B26:B27"/>
    <mergeCell ref="C26:D26"/>
    <mergeCell ref="E26:F26"/>
    <mergeCell ref="G26:H26"/>
    <mergeCell ref="I26:J26"/>
    <mergeCell ref="K26:L26"/>
    <mergeCell ref="C27:D27"/>
    <mergeCell ref="E27:F27"/>
    <mergeCell ref="G27:H27"/>
    <mergeCell ref="I27:J27"/>
    <mergeCell ref="K27:L27"/>
    <mergeCell ref="B24:B25"/>
    <mergeCell ref="C24:D24"/>
    <mergeCell ref="E24:F24"/>
    <mergeCell ref="G24:H24"/>
    <mergeCell ref="I24:J24"/>
    <mergeCell ref="K24:L24"/>
    <mergeCell ref="C25:D25"/>
    <mergeCell ref="E25:F25"/>
    <mergeCell ref="G25:H25"/>
    <mergeCell ref="I25:J25"/>
    <mergeCell ref="K25:L25"/>
    <mergeCell ref="B22:B23"/>
    <mergeCell ref="C22:D22"/>
    <mergeCell ref="E22:F22"/>
    <mergeCell ref="G22:H22"/>
    <mergeCell ref="I22:J22"/>
    <mergeCell ref="K22:L22"/>
    <mergeCell ref="C23:D23"/>
    <mergeCell ref="E23:F23"/>
    <mergeCell ref="G23:H23"/>
    <mergeCell ref="I23:J23"/>
    <mergeCell ref="K23:L23"/>
    <mergeCell ref="B20:B21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B17:L17"/>
    <mergeCell ref="B18:B19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B14:B15"/>
    <mergeCell ref="C14:D14"/>
    <mergeCell ref="E14:F14"/>
    <mergeCell ref="G14:H14"/>
    <mergeCell ref="I14:J14"/>
    <mergeCell ref="K14:L14"/>
    <mergeCell ref="C15:D15"/>
    <mergeCell ref="E15:F15"/>
    <mergeCell ref="G15:H15"/>
    <mergeCell ref="I15:J15"/>
    <mergeCell ref="K15:L15"/>
    <mergeCell ref="B12:B13"/>
    <mergeCell ref="C12:D12"/>
    <mergeCell ref="E12:F12"/>
    <mergeCell ref="G12:H12"/>
    <mergeCell ref="I12:J12"/>
    <mergeCell ref="K12:L12"/>
    <mergeCell ref="C13:D13"/>
    <mergeCell ref="E13:F13"/>
    <mergeCell ref="G13:H13"/>
    <mergeCell ref="I13:J13"/>
    <mergeCell ref="K13:L13"/>
    <mergeCell ref="C7:D7"/>
    <mergeCell ref="E7:F7"/>
    <mergeCell ref="G7:H7"/>
    <mergeCell ref="I7:J7"/>
    <mergeCell ref="K7:L7"/>
    <mergeCell ref="B9:L9"/>
    <mergeCell ref="B10:B11"/>
    <mergeCell ref="C10:D10"/>
    <mergeCell ref="E10:F10"/>
    <mergeCell ref="G10:H10"/>
    <mergeCell ref="I10:J10"/>
    <mergeCell ref="K10:L10"/>
    <mergeCell ref="C11:D11"/>
    <mergeCell ref="E11:F11"/>
    <mergeCell ref="G11:H11"/>
    <mergeCell ref="I11:J11"/>
    <mergeCell ref="K11:L11"/>
    <mergeCell ref="B2:L2"/>
    <mergeCell ref="B4:C4"/>
    <mergeCell ref="D4:E4"/>
    <mergeCell ref="F4:G4"/>
    <mergeCell ref="H4:J4"/>
    <mergeCell ref="B5:C5"/>
    <mergeCell ref="D5:E5"/>
    <mergeCell ref="F5:G5"/>
    <mergeCell ref="H5:J5"/>
  </mergeCells>
  <phoneticPr fontId="19" type="noConversion"/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showGridLines="0" workbookViewId="0">
      <selection activeCell="O8" sqref="O8"/>
    </sheetView>
  </sheetViews>
  <sheetFormatPr baseColWidth="10" defaultColWidth="8.6640625" defaultRowHeight="15" customHeight="1"/>
  <cols>
    <col min="1" max="1" width="2" style="29" customWidth="1"/>
    <col min="2" max="2" width="5" style="29" customWidth="1"/>
    <col min="3" max="12" width="7" style="29" customWidth="1"/>
    <col min="13" max="13" width="8.6640625" style="29" customWidth="1"/>
    <col min="14" max="16384" width="8.6640625" style="29"/>
  </cols>
  <sheetData>
    <row r="1" spans="1:12" ht="8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6" customHeight="1">
      <c r="A2" s="6"/>
      <c r="B2" s="4" t="s">
        <v>79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1.75" customHeight="1">
      <c r="A4" s="6"/>
      <c r="B4" s="7" t="s">
        <v>8</v>
      </c>
      <c r="C4" s="8"/>
      <c r="D4" s="7" t="s">
        <v>19</v>
      </c>
      <c r="E4" s="8"/>
      <c r="F4" s="7" t="s">
        <v>10</v>
      </c>
      <c r="G4" s="8"/>
      <c r="H4" s="7" t="s">
        <v>11</v>
      </c>
      <c r="I4" s="8"/>
      <c r="J4" s="8"/>
      <c r="K4" s="6"/>
      <c r="L4" s="6"/>
    </row>
    <row r="5" spans="1:12" ht="21.75" customHeight="1">
      <c r="A5" s="6"/>
      <c r="B5" s="30">
        <v>20</v>
      </c>
      <c r="C5" s="30"/>
      <c r="D5" s="30" cm="1">
        <f t="array" ref="D5">SUM(C11,E11,G11,I11,K11,C13,E13,G13,I13,K13,C15,E15,G15,I15,K19,C21,E21,G21,I21,K21,C23,E23,G23,I23,K23,C25,E25,G25,I25,K25,C27,E27,G27,I27,K27,C31,E31,G31,I31,K31)</f>
        <v>5</v>
      </c>
      <c r="E5" s="30"/>
      <c r="F5" s="30" cm="1">
        <f t="array" ref="F5">B5-D5</f>
        <v>15</v>
      </c>
      <c r="G5" s="30"/>
      <c r="H5" s="31" cm="1">
        <f t="array" ref="H5">IFERROR(D5/B5,0)</f>
        <v>0.25</v>
      </c>
      <c r="I5" s="31"/>
      <c r="J5" s="31"/>
      <c r="K5" s="6"/>
      <c r="L5" s="6"/>
    </row>
    <row r="6" spans="1:12" ht="9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21.75" customHeight="1">
      <c r="A7" s="6"/>
      <c r="B7" s="32" t="s">
        <v>20</v>
      </c>
      <c r="C7" s="33" t="s">
        <v>21</v>
      </c>
      <c r="D7" s="34"/>
      <c r="E7" s="33" t="s">
        <v>22</v>
      </c>
      <c r="F7" s="34"/>
      <c r="G7" s="33" t="s">
        <v>23</v>
      </c>
      <c r="H7" s="34"/>
      <c r="I7" s="33" t="s">
        <v>24</v>
      </c>
      <c r="J7" s="34"/>
      <c r="K7" s="33" t="s">
        <v>25</v>
      </c>
      <c r="L7" s="34"/>
    </row>
    <row r="8" spans="1:12" ht="8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24" customHeight="1">
      <c r="A9" s="6"/>
      <c r="B9" s="35" t="s">
        <v>26</v>
      </c>
      <c r="C9" s="36"/>
      <c r="D9" s="36"/>
      <c r="E9" s="36"/>
      <c r="F9" s="36"/>
      <c r="G9" s="36"/>
      <c r="H9" s="36"/>
      <c r="I9" s="36"/>
      <c r="J9" s="36"/>
      <c r="K9" s="36"/>
      <c r="L9" s="36"/>
    </row>
    <row r="10" spans="1:12" ht="18" customHeight="1">
      <c r="A10" s="6"/>
      <c r="B10" s="37" t="s">
        <v>27</v>
      </c>
      <c r="C10" s="38" t="s">
        <v>28</v>
      </c>
      <c r="D10" s="39"/>
      <c r="E10" s="38" t="s">
        <v>29</v>
      </c>
      <c r="F10" s="39"/>
      <c r="G10" s="38" t="s">
        <v>30</v>
      </c>
      <c r="H10" s="39"/>
      <c r="I10" s="38" t="s">
        <v>31</v>
      </c>
      <c r="J10" s="39"/>
      <c r="K10" s="38" t="s">
        <v>32</v>
      </c>
      <c r="L10" s="39"/>
    </row>
    <row r="11" spans="1:12" ht="25.5" customHeight="1">
      <c r="A11" s="6"/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ht="18" customHeight="1">
      <c r="A12" s="6"/>
      <c r="B12" s="37" t="s">
        <v>33</v>
      </c>
      <c r="C12" s="38" t="s">
        <v>34</v>
      </c>
      <c r="D12" s="39"/>
      <c r="E12" s="38" t="s">
        <v>35</v>
      </c>
      <c r="F12" s="39"/>
      <c r="G12" s="38" t="s">
        <v>36</v>
      </c>
      <c r="H12" s="39"/>
      <c r="I12" s="38" t="s">
        <v>37</v>
      </c>
      <c r="J12" s="39"/>
      <c r="K12" s="38" t="s">
        <v>38</v>
      </c>
      <c r="L12" s="39"/>
    </row>
    <row r="13" spans="1:12" ht="25.5" customHeight="1">
      <c r="A13" s="6"/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pans="1:12" ht="18" customHeight="1">
      <c r="A14" s="6"/>
      <c r="B14" s="37" t="s">
        <v>39</v>
      </c>
      <c r="C14" s="38" t="s">
        <v>40</v>
      </c>
      <c r="D14" s="39"/>
      <c r="E14" s="38" t="s">
        <v>41</v>
      </c>
      <c r="F14" s="39"/>
      <c r="G14" s="38" t="s">
        <v>42</v>
      </c>
      <c r="H14" s="39"/>
      <c r="I14" s="38" t="s">
        <v>43</v>
      </c>
      <c r="J14" s="39"/>
      <c r="K14" s="42"/>
      <c r="L14" s="42"/>
    </row>
    <row r="15" spans="1:12" ht="25.5" customHeight="1">
      <c r="A15" s="6"/>
      <c r="B15" s="40"/>
      <c r="C15" s="41">
        <v>5</v>
      </c>
      <c r="D15" s="41"/>
      <c r="E15" s="41"/>
      <c r="F15" s="41"/>
      <c r="G15" s="41"/>
      <c r="H15" s="41"/>
      <c r="I15" s="41"/>
      <c r="J15" s="41"/>
      <c r="K15" s="42"/>
      <c r="L15" s="42"/>
    </row>
    <row r="16" spans="1:12" ht="8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ht="24" customHeight="1">
      <c r="A17" s="6"/>
      <c r="B17" s="35" t="s">
        <v>44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1:12" ht="18" customHeight="1">
      <c r="A18" s="6"/>
      <c r="B18" s="37" t="s">
        <v>39</v>
      </c>
      <c r="C18" s="42"/>
      <c r="D18" s="42"/>
      <c r="E18" s="42"/>
      <c r="F18" s="42"/>
      <c r="G18" s="42"/>
      <c r="H18" s="42"/>
      <c r="I18" s="42"/>
      <c r="J18" s="42"/>
      <c r="K18" s="38" t="s">
        <v>45</v>
      </c>
      <c r="L18" s="39"/>
    </row>
    <row r="19" spans="1:12" ht="25.5" customHeight="1">
      <c r="A19" s="6"/>
      <c r="B19" s="40"/>
      <c r="C19" s="42"/>
      <c r="D19" s="42"/>
      <c r="E19" s="42"/>
      <c r="F19" s="42"/>
      <c r="G19" s="42"/>
      <c r="H19" s="42"/>
      <c r="I19" s="42"/>
      <c r="J19" s="42"/>
      <c r="K19" s="41"/>
      <c r="L19" s="41"/>
    </row>
    <row r="20" spans="1:12" ht="18" customHeight="1">
      <c r="A20" s="6"/>
      <c r="B20" s="37" t="s">
        <v>46</v>
      </c>
      <c r="C20" s="38" t="s">
        <v>47</v>
      </c>
      <c r="D20" s="39"/>
      <c r="E20" s="38" t="s">
        <v>48</v>
      </c>
      <c r="F20" s="39"/>
      <c r="G20" s="38" t="s">
        <v>49</v>
      </c>
      <c r="H20" s="39"/>
      <c r="I20" s="38" t="s">
        <v>50</v>
      </c>
      <c r="J20" s="39"/>
      <c r="K20" s="38" t="s">
        <v>51</v>
      </c>
      <c r="L20" s="39"/>
    </row>
    <row r="21" spans="1:12" ht="25.5" customHeight="1">
      <c r="A21" s="6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ht="18" customHeight="1">
      <c r="A22" s="6"/>
      <c r="B22" s="37" t="s">
        <v>52</v>
      </c>
      <c r="C22" s="38" t="s">
        <v>53</v>
      </c>
      <c r="D22" s="39"/>
      <c r="E22" s="38" t="s">
        <v>54</v>
      </c>
      <c r="F22" s="39"/>
      <c r="G22" s="38" t="s">
        <v>55</v>
      </c>
      <c r="H22" s="39"/>
      <c r="I22" s="38" t="s">
        <v>56</v>
      </c>
      <c r="J22" s="39"/>
      <c r="K22" s="38" t="s">
        <v>57</v>
      </c>
      <c r="L22" s="39"/>
    </row>
    <row r="23" spans="1:12" ht="25.5" customHeight="1">
      <c r="A23" s="6"/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</row>
    <row r="24" spans="1:12" ht="18" customHeight="1">
      <c r="A24" s="6"/>
      <c r="B24" s="37" t="s">
        <v>58</v>
      </c>
      <c r="C24" s="38" t="s">
        <v>59</v>
      </c>
      <c r="D24" s="39"/>
      <c r="E24" s="38" t="s">
        <v>60</v>
      </c>
      <c r="F24" s="39"/>
      <c r="G24" s="38" t="s">
        <v>61</v>
      </c>
      <c r="H24" s="39"/>
      <c r="I24" s="38" t="s">
        <v>62</v>
      </c>
      <c r="J24" s="39"/>
      <c r="K24" s="38" t="s">
        <v>63</v>
      </c>
      <c r="L24" s="39"/>
    </row>
    <row r="25" spans="1:12" ht="25.5" customHeight="1">
      <c r="A25" s="6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spans="1:12" ht="18" customHeight="1">
      <c r="A26" s="6"/>
      <c r="B26" s="37" t="s">
        <v>64</v>
      </c>
      <c r="C26" s="38" t="s">
        <v>65</v>
      </c>
      <c r="D26" s="39"/>
      <c r="E26" s="38" t="s">
        <v>66</v>
      </c>
      <c r="F26" s="39"/>
      <c r="G26" s="38" t="s">
        <v>67</v>
      </c>
      <c r="H26" s="39"/>
      <c r="I26" s="38" t="s">
        <v>68</v>
      </c>
      <c r="J26" s="39"/>
      <c r="K26" s="38" t="s">
        <v>69</v>
      </c>
      <c r="L26" s="39"/>
    </row>
    <row r="27" spans="1:12" ht="25.5" customHeight="1">
      <c r="A27" s="6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spans="1:12" ht="8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ht="24" customHeight="1">
      <c r="A29" s="6"/>
      <c r="B29" s="35" t="s">
        <v>70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</row>
    <row r="30" spans="1:12" ht="18" customHeight="1">
      <c r="A30" s="6"/>
      <c r="B30" s="37" t="s">
        <v>71</v>
      </c>
      <c r="C30" s="38" t="s">
        <v>72</v>
      </c>
      <c r="D30" s="39"/>
      <c r="E30" s="38" t="s">
        <v>73</v>
      </c>
      <c r="F30" s="39"/>
      <c r="G30" s="38" t="s">
        <v>74</v>
      </c>
      <c r="H30" s="39"/>
      <c r="I30" s="38" t="s">
        <v>75</v>
      </c>
      <c r="J30" s="39"/>
      <c r="K30" s="38" t="s">
        <v>76</v>
      </c>
      <c r="L30" s="39"/>
    </row>
    <row r="31" spans="1:12" ht="25.5" customHeight="1">
      <c r="A31" s="6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</row>
    <row r="32" spans="1:12" ht="8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ht="18" customHeight="1">
      <c r="A33" s="6"/>
      <c r="B33" s="27" t="s">
        <v>77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spans="1:12" ht="18" customHeight="1">
      <c r="A34" s="6"/>
      <c r="B34" s="25" t="s">
        <v>78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</row>
  </sheetData>
  <mergeCells count="118">
    <mergeCell ref="B33:L33"/>
    <mergeCell ref="B34:L34"/>
    <mergeCell ref="B29:L29"/>
    <mergeCell ref="B30:B31"/>
    <mergeCell ref="C30:D30"/>
    <mergeCell ref="E30:F30"/>
    <mergeCell ref="G30:H30"/>
    <mergeCell ref="I30:J30"/>
    <mergeCell ref="K30:L30"/>
    <mergeCell ref="C31:D31"/>
    <mergeCell ref="E31:F31"/>
    <mergeCell ref="G31:H31"/>
    <mergeCell ref="I31:J31"/>
    <mergeCell ref="K31:L31"/>
    <mergeCell ref="B26:B27"/>
    <mergeCell ref="C26:D26"/>
    <mergeCell ref="E26:F26"/>
    <mergeCell ref="G26:H26"/>
    <mergeCell ref="I26:J26"/>
    <mergeCell ref="K26:L26"/>
    <mergeCell ref="C27:D27"/>
    <mergeCell ref="E27:F27"/>
    <mergeCell ref="G27:H27"/>
    <mergeCell ref="I27:J27"/>
    <mergeCell ref="K27:L27"/>
    <mergeCell ref="B24:B25"/>
    <mergeCell ref="C24:D24"/>
    <mergeCell ref="E24:F24"/>
    <mergeCell ref="G24:H24"/>
    <mergeCell ref="I24:J24"/>
    <mergeCell ref="K24:L24"/>
    <mergeCell ref="C25:D25"/>
    <mergeCell ref="E25:F25"/>
    <mergeCell ref="G25:H25"/>
    <mergeCell ref="I25:J25"/>
    <mergeCell ref="K25:L25"/>
    <mergeCell ref="B22:B23"/>
    <mergeCell ref="C22:D22"/>
    <mergeCell ref="E22:F22"/>
    <mergeCell ref="G22:H22"/>
    <mergeCell ref="I22:J22"/>
    <mergeCell ref="K22:L22"/>
    <mergeCell ref="C23:D23"/>
    <mergeCell ref="E23:F23"/>
    <mergeCell ref="G23:H23"/>
    <mergeCell ref="I23:J23"/>
    <mergeCell ref="K23:L23"/>
    <mergeCell ref="B20:B21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B17:L17"/>
    <mergeCell ref="B18:B19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B14:B15"/>
    <mergeCell ref="C14:D14"/>
    <mergeCell ref="E14:F14"/>
    <mergeCell ref="G14:H14"/>
    <mergeCell ref="I14:J14"/>
    <mergeCell ref="K14:L14"/>
    <mergeCell ref="C15:D15"/>
    <mergeCell ref="E15:F15"/>
    <mergeCell ref="G15:H15"/>
    <mergeCell ref="I15:J15"/>
    <mergeCell ref="K15:L15"/>
    <mergeCell ref="B12:B13"/>
    <mergeCell ref="C12:D12"/>
    <mergeCell ref="E12:F12"/>
    <mergeCell ref="G12:H12"/>
    <mergeCell ref="I12:J12"/>
    <mergeCell ref="K12:L12"/>
    <mergeCell ref="C13:D13"/>
    <mergeCell ref="E13:F13"/>
    <mergeCell ref="G13:H13"/>
    <mergeCell ref="I13:J13"/>
    <mergeCell ref="K13:L13"/>
    <mergeCell ref="C7:D7"/>
    <mergeCell ref="E7:F7"/>
    <mergeCell ref="G7:H7"/>
    <mergeCell ref="I7:J7"/>
    <mergeCell ref="K7:L7"/>
    <mergeCell ref="B9:L9"/>
    <mergeCell ref="B10:B11"/>
    <mergeCell ref="C10:D10"/>
    <mergeCell ref="E10:F10"/>
    <mergeCell ref="G10:H10"/>
    <mergeCell ref="I10:J10"/>
    <mergeCell ref="K10:L10"/>
    <mergeCell ref="C11:D11"/>
    <mergeCell ref="E11:F11"/>
    <mergeCell ref="G11:H11"/>
    <mergeCell ref="I11:J11"/>
    <mergeCell ref="K11:L11"/>
    <mergeCell ref="B2:L2"/>
    <mergeCell ref="B4:C4"/>
    <mergeCell ref="D4:E4"/>
    <mergeCell ref="F4:G4"/>
    <mergeCell ref="H4:J4"/>
    <mergeCell ref="B5:C5"/>
    <mergeCell ref="D5:E5"/>
    <mergeCell ref="F5:G5"/>
    <mergeCell ref="H5:J5"/>
  </mergeCells>
  <phoneticPr fontId="19" type="noConversion"/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4"/>
  <sheetViews>
    <sheetView showGridLines="0" workbookViewId="0">
      <selection activeCell="O6" sqref="O6"/>
    </sheetView>
  </sheetViews>
  <sheetFormatPr baseColWidth="10" defaultColWidth="8.6640625" defaultRowHeight="15" customHeight="1"/>
  <cols>
    <col min="1" max="1" width="2" style="29" customWidth="1"/>
    <col min="2" max="2" width="5" style="29" customWidth="1"/>
    <col min="3" max="12" width="7" style="29" customWidth="1"/>
    <col min="13" max="13" width="8.6640625" style="29" customWidth="1"/>
    <col min="14" max="16384" width="8.6640625" style="29"/>
  </cols>
  <sheetData>
    <row r="1" spans="1:12" ht="8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6" customHeight="1">
      <c r="A2" s="6"/>
      <c r="B2" s="4" t="s">
        <v>80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1.75" customHeight="1">
      <c r="A4" s="6"/>
      <c r="B4" s="7" t="s">
        <v>8</v>
      </c>
      <c r="C4" s="8"/>
      <c r="D4" s="7" t="s">
        <v>19</v>
      </c>
      <c r="E4" s="8"/>
      <c r="F4" s="7" t="s">
        <v>10</v>
      </c>
      <c r="G4" s="8"/>
      <c r="H4" s="7" t="s">
        <v>11</v>
      </c>
      <c r="I4" s="8"/>
      <c r="J4" s="8"/>
      <c r="K4" s="6"/>
      <c r="L4" s="6"/>
    </row>
    <row r="5" spans="1:12" ht="21.75" customHeight="1">
      <c r="A5" s="6"/>
      <c r="B5" s="30">
        <v>20</v>
      </c>
      <c r="C5" s="30"/>
      <c r="D5" s="30" cm="1">
        <f t="array" ref="D5">SUM(C11,E11,G11,I11,K11,C13,E13,G13,I13,K13,C15,E15,G15,I15,K19,C21,E21,G21,I21,K21,C23,E23,G23,I23,K23,C25,E25,G25,I25,K25,C27,E27,G27,I27,K27,C31,E31,G31,I31,K31)</f>
        <v>2</v>
      </c>
      <c r="E5" s="30"/>
      <c r="F5" s="30" cm="1">
        <f t="array" ref="F5">B5-D5</f>
        <v>18</v>
      </c>
      <c r="G5" s="30"/>
      <c r="H5" s="31" cm="1">
        <f t="array" ref="H5">IFERROR(D5/B5,0)</f>
        <v>0.1</v>
      </c>
      <c r="I5" s="31"/>
      <c r="J5" s="31"/>
      <c r="K5" s="6"/>
      <c r="L5" s="6"/>
    </row>
    <row r="6" spans="1:12" ht="9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21.75" customHeight="1">
      <c r="A7" s="6"/>
      <c r="B7" s="32" t="s">
        <v>20</v>
      </c>
      <c r="C7" s="33" t="s">
        <v>21</v>
      </c>
      <c r="D7" s="34"/>
      <c r="E7" s="33" t="s">
        <v>22</v>
      </c>
      <c r="F7" s="34"/>
      <c r="G7" s="33" t="s">
        <v>23</v>
      </c>
      <c r="H7" s="34"/>
      <c r="I7" s="33" t="s">
        <v>24</v>
      </c>
      <c r="J7" s="34"/>
      <c r="K7" s="33" t="s">
        <v>25</v>
      </c>
      <c r="L7" s="34"/>
    </row>
    <row r="8" spans="1:12" ht="8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24" customHeight="1">
      <c r="A9" s="6"/>
      <c r="B9" s="35" t="s">
        <v>26</v>
      </c>
      <c r="C9" s="36"/>
      <c r="D9" s="36"/>
      <c r="E9" s="36"/>
      <c r="F9" s="36"/>
      <c r="G9" s="36"/>
      <c r="H9" s="36"/>
      <c r="I9" s="36"/>
      <c r="J9" s="36"/>
      <c r="K9" s="36"/>
      <c r="L9" s="36"/>
    </row>
    <row r="10" spans="1:12" ht="18" customHeight="1">
      <c r="A10" s="6"/>
      <c r="B10" s="37" t="s">
        <v>27</v>
      </c>
      <c r="C10" s="38" t="s">
        <v>28</v>
      </c>
      <c r="D10" s="39"/>
      <c r="E10" s="38" t="s">
        <v>29</v>
      </c>
      <c r="F10" s="39"/>
      <c r="G10" s="38" t="s">
        <v>30</v>
      </c>
      <c r="H10" s="39"/>
      <c r="I10" s="38" t="s">
        <v>31</v>
      </c>
      <c r="J10" s="39"/>
      <c r="K10" s="38" t="s">
        <v>32</v>
      </c>
      <c r="L10" s="39"/>
    </row>
    <row r="11" spans="1:12" ht="25.5" customHeight="1">
      <c r="A11" s="6"/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ht="18" customHeight="1">
      <c r="A12" s="6"/>
      <c r="B12" s="37" t="s">
        <v>33</v>
      </c>
      <c r="C12" s="38" t="s">
        <v>34</v>
      </c>
      <c r="D12" s="39"/>
      <c r="E12" s="38" t="s">
        <v>35</v>
      </c>
      <c r="F12" s="39"/>
      <c r="G12" s="38" t="s">
        <v>36</v>
      </c>
      <c r="H12" s="39"/>
      <c r="I12" s="38" t="s">
        <v>37</v>
      </c>
      <c r="J12" s="39"/>
      <c r="K12" s="38" t="s">
        <v>38</v>
      </c>
      <c r="L12" s="39"/>
    </row>
    <row r="13" spans="1:12" ht="25.5" customHeight="1">
      <c r="A13" s="6"/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pans="1:12" ht="18" customHeight="1">
      <c r="A14" s="6"/>
      <c r="B14" s="37" t="s">
        <v>39</v>
      </c>
      <c r="C14" s="38" t="s">
        <v>40</v>
      </c>
      <c r="D14" s="39"/>
      <c r="E14" s="38" t="s">
        <v>41</v>
      </c>
      <c r="F14" s="39"/>
      <c r="G14" s="38" t="s">
        <v>42</v>
      </c>
      <c r="H14" s="39"/>
      <c r="I14" s="38" t="s">
        <v>43</v>
      </c>
      <c r="J14" s="39"/>
      <c r="K14" s="42"/>
      <c r="L14" s="42"/>
    </row>
    <row r="15" spans="1:12" ht="25.5" customHeight="1">
      <c r="A15" s="6"/>
      <c r="B15" s="40"/>
      <c r="C15" s="41"/>
      <c r="D15" s="41"/>
      <c r="E15" s="41"/>
      <c r="F15" s="41"/>
      <c r="G15" s="41"/>
      <c r="H15" s="41"/>
      <c r="I15" s="41"/>
      <c r="J15" s="41"/>
      <c r="K15" s="42"/>
      <c r="L15" s="42"/>
    </row>
    <row r="16" spans="1:12" ht="8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ht="24" customHeight="1">
      <c r="A17" s="6"/>
      <c r="B17" s="35" t="s">
        <v>44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1:12" ht="18" customHeight="1">
      <c r="A18" s="6"/>
      <c r="B18" s="37" t="s">
        <v>39</v>
      </c>
      <c r="C18" s="42"/>
      <c r="D18" s="42"/>
      <c r="E18" s="42"/>
      <c r="F18" s="42"/>
      <c r="G18" s="42"/>
      <c r="H18" s="42"/>
      <c r="I18" s="42"/>
      <c r="J18" s="42"/>
      <c r="K18" s="38" t="s">
        <v>45</v>
      </c>
      <c r="L18" s="39"/>
    </row>
    <row r="19" spans="1:12" ht="25.5" customHeight="1">
      <c r="A19" s="6"/>
      <c r="B19" s="40"/>
      <c r="C19" s="42"/>
      <c r="D19" s="42"/>
      <c r="E19" s="42"/>
      <c r="F19" s="42"/>
      <c r="G19" s="42"/>
      <c r="H19" s="42"/>
      <c r="I19" s="42"/>
      <c r="J19" s="42"/>
      <c r="K19" s="41"/>
      <c r="L19" s="41"/>
    </row>
    <row r="20" spans="1:12" ht="18" customHeight="1">
      <c r="A20" s="6"/>
      <c r="B20" s="37" t="s">
        <v>46</v>
      </c>
      <c r="C20" s="38" t="s">
        <v>47</v>
      </c>
      <c r="D20" s="39"/>
      <c r="E20" s="38" t="s">
        <v>48</v>
      </c>
      <c r="F20" s="39"/>
      <c r="G20" s="38" t="s">
        <v>49</v>
      </c>
      <c r="H20" s="39"/>
      <c r="I20" s="38" t="s">
        <v>50</v>
      </c>
      <c r="J20" s="39"/>
      <c r="K20" s="38" t="s">
        <v>51</v>
      </c>
      <c r="L20" s="39"/>
    </row>
    <row r="21" spans="1:12" ht="25.5" customHeight="1">
      <c r="A21" s="6"/>
      <c r="B21" s="40"/>
      <c r="C21" s="41">
        <v>2</v>
      </c>
      <c r="D21" s="41"/>
      <c r="E21" s="41"/>
      <c r="F21" s="41"/>
      <c r="G21" s="41"/>
      <c r="H21" s="41"/>
      <c r="I21" s="41"/>
      <c r="J21" s="41"/>
      <c r="K21" s="41"/>
      <c r="L21" s="41"/>
    </row>
    <row r="22" spans="1:12" ht="18" customHeight="1">
      <c r="A22" s="6"/>
      <c r="B22" s="37" t="s">
        <v>52</v>
      </c>
      <c r="C22" s="38" t="s">
        <v>53</v>
      </c>
      <c r="D22" s="39"/>
      <c r="E22" s="38" t="s">
        <v>54</v>
      </c>
      <c r="F22" s="39"/>
      <c r="G22" s="38" t="s">
        <v>55</v>
      </c>
      <c r="H22" s="39"/>
      <c r="I22" s="38" t="s">
        <v>56</v>
      </c>
      <c r="J22" s="39"/>
      <c r="K22" s="38" t="s">
        <v>57</v>
      </c>
      <c r="L22" s="39"/>
    </row>
    <row r="23" spans="1:12" ht="25.5" customHeight="1">
      <c r="A23" s="6"/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</row>
    <row r="24" spans="1:12" ht="18" customHeight="1">
      <c r="A24" s="6"/>
      <c r="B24" s="37" t="s">
        <v>58</v>
      </c>
      <c r="C24" s="38" t="s">
        <v>59</v>
      </c>
      <c r="D24" s="39"/>
      <c r="E24" s="38" t="s">
        <v>60</v>
      </c>
      <c r="F24" s="39"/>
      <c r="G24" s="38" t="s">
        <v>61</v>
      </c>
      <c r="H24" s="39"/>
      <c r="I24" s="38" t="s">
        <v>62</v>
      </c>
      <c r="J24" s="39"/>
      <c r="K24" s="38" t="s">
        <v>63</v>
      </c>
      <c r="L24" s="39"/>
    </row>
    <row r="25" spans="1:12" ht="25.5" customHeight="1">
      <c r="A25" s="6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spans="1:12" ht="18" customHeight="1">
      <c r="A26" s="6"/>
      <c r="B26" s="37" t="s">
        <v>64</v>
      </c>
      <c r="C26" s="38" t="s">
        <v>65</v>
      </c>
      <c r="D26" s="39"/>
      <c r="E26" s="38" t="s">
        <v>66</v>
      </c>
      <c r="F26" s="39"/>
      <c r="G26" s="38" t="s">
        <v>67</v>
      </c>
      <c r="H26" s="39"/>
      <c r="I26" s="38" t="s">
        <v>68</v>
      </c>
      <c r="J26" s="39"/>
      <c r="K26" s="38" t="s">
        <v>69</v>
      </c>
      <c r="L26" s="39"/>
    </row>
    <row r="27" spans="1:12" ht="25.5" customHeight="1">
      <c r="A27" s="6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spans="1:12" ht="8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ht="24" customHeight="1">
      <c r="A29" s="6"/>
      <c r="B29" s="35" t="s">
        <v>70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</row>
    <row r="30" spans="1:12" ht="18" customHeight="1">
      <c r="A30" s="6"/>
      <c r="B30" s="37" t="s">
        <v>71</v>
      </c>
      <c r="C30" s="38" t="s">
        <v>72</v>
      </c>
      <c r="D30" s="39"/>
      <c r="E30" s="38" t="s">
        <v>73</v>
      </c>
      <c r="F30" s="39"/>
      <c r="G30" s="38" t="s">
        <v>74</v>
      </c>
      <c r="H30" s="39"/>
      <c r="I30" s="38" t="s">
        <v>75</v>
      </c>
      <c r="J30" s="39"/>
      <c r="K30" s="38" t="s">
        <v>76</v>
      </c>
      <c r="L30" s="39"/>
    </row>
    <row r="31" spans="1:12" ht="25.5" customHeight="1">
      <c r="A31" s="6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</row>
    <row r="32" spans="1:12" ht="8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ht="18" customHeight="1">
      <c r="A33" s="6"/>
      <c r="B33" s="27" t="s">
        <v>77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spans="1:12" ht="18" customHeight="1">
      <c r="A34" s="6"/>
      <c r="B34" s="25" t="s">
        <v>78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</row>
  </sheetData>
  <mergeCells count="118">
    <mergeCell ref="B33:L33"/>
    <mergeCell ref="B34:L34"/>
    <mergeCell ref="B29:L29"/>
    <mergeCell ref="B30:B31"/>
    <mergeCell ref="C30:D30"/>
    <mergeCell ref="E30:F30"/>
    <mergeCell ref="G30:H30"/>
    <mergeCell ref="I30:J30"/>
    <mergeCell ref="K30:L30"/>
    <mergeCell ref="C31:D31"/>
    <mergeCell ref="E31:F31"/>
    <mergeCell ref="G31:H31"/>
    <mergeCell ref="I31:J31"/>
    <mergeCell ref="K31:L31"/>
    <mergeCell ref="B26:B27"/>
    <mergeCell ref="C26:D26"/>
    <mergeCell ref="E26:F26"/>
    <mergeCell ref="G26:H26"/>
    <mergeCell ref="I26:J26"/>
    <mergeCell ref="K26:L26"/>
    <mergeCell ref="C27:D27"/>
    <mergeCell ref="E27:F27"/>
    <mergeCell ref="G27:H27"/>
    <mergeCell ref="I27:J27"/>
    <mergeCell ref="K27:L27"/>
    <mergeCell ref="B24:B25"/>
    <mergeCell ref="C24:D24"/>
    <mergeCell ref="E24:F24"/>
    <mergeCell ref="G24:H24"/>
    <mergeCell ref="I24:J24"/>
    <mergeCell ref="K24:L24"/>
    <mergeCell ref="C25:D25"/>
    <mergeCell ref="E25:F25"/>
    <mergeCell ref="G25:H25"/>
    <mergeCell ref="I25:J25"/>
    <mergeCell ref="K25:L25"/>
    <mergeCell ref="B22:B23"/>
    <mergeCell ref="C22:D22"/>
    <mergeCell ref="E22:F22"/>
    <mergeCell ref="G22:H22"/>
    <mergeCell ref="I22:J22"/>
    <mergeCell ref="K22:L22"/>
    <mergeCell ref="C23:D23"/>
    <mergeCell ref="E23:F23"/>
    <mergeCell ref="G23:H23"/>
    <mergeCell ref="I23:J23"/>
    <mergeCell ref="K23:L23"/>
    <mergeCell ref="B20:B21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B17:L17"/>
    <mergeCell ref="B18:B19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B14:B15"/>
    <mergeCell ref="C14:D14"/>
    <mergeCell ref="E14:F14"/>
    <mergeCell ref="G14:H14"/>
    <mergeCell ref="I14:J14"/>
    <mergeCell ref="K14:L14"/>
    <mergeCell ref="C15:D15"/>
    <mergeCell ref="E15:F15"/>
    <mergeCell ref="G15:H15"/>
    <mergeCell ref="I15:J15"/>
    <mergeCell ref="K15:L15"/>
    <mergeCell ref="B12:B13"/>
    <mergeCell ref="C12:D12"/>
    <mergeCell ref="E12:F12"/>
    <mergeCell ref="G12:H12"/>
    <mergeCell ref="I12:J12"/>
    <mergeCell ref="K12:L12"/>
    <mergeCell ref="C13:D13"/>
    <mergeCell ref="E13:F13"/>
    <mergeCell ref="G13:H13"/>
    <mergeCell ref="I13:J13"/>
    <mergeCell ref="K13:L13"/>
    <mergeCell ref="C7:D7"/>
    <mergeCell ref="E7:F7"/>
    <mergeCell ref="G7:H7"/>
    <mergeCell ref="I7:J7"/>
    <mergeCell ref="K7:L7"/>
    <mergeCell ref="B9:L9"/>
    <mergeCell ref="B10:B11"/>
    <mergeCell ref="C10:D10"/>
    <mergeCell ref="E10:F10"/>
    <mergeCell ref="G10:H10"/>
    <mergeCell ref="I10:J10"/>
    <mergeCell ref="K10:L10"/>
    <mergeCell ref="C11:D11"/>
    <mergeCell ref="E11:F11"/>
    <mergeCell ref="G11:H11"/>
    <mergeCell ref="I11:J11"/>
    <mergeCell ref="K11:L11"/>
    <mergeCell ref="B2:L2"/>
    <mergeCell ref="B4:C4"/>
    <mergeCell ref="D4:E4"/>
    <mergeCell ref="F4:G4"/>
    <mergeCell ref="H4:J4"/>
    <mergeCell ref="B5:C5"/>
    <mergeCell ref="D5:E5"/>
    <mergeCell ref="F5:G5"/>
    <mergeCell ref="H5:J5"/>
  </mergeCells>
  <phoneticPr fontId="19" type="noConversion"/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공가 요약</vt:lpstr>
      <vt:lpstr>권미정</vt:lpstr>
      <vt:lpstr>박수빈</vt:lpstr>
      <vt:lpstr>윤서연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조준형</cp:lastModifiedBy>
  <dcterms:modified xsi:type="dcterms:W3CDTF">2026-05-04T04:53:36Z</dcterms:modified>
</cp:coreProperties>
</file>